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Previous" sheetId="2" r:id="rId6"/>
  </sheets>
  <definedNames/>
  <calcPr/>
</workbook>
</file>

<file path=xl/sharedStrings.xml><?xml version="1.0" encoding="utf-8"?>
<sst xmlns="http://schemas.openxmlformats.org/spreadsheetml/2006/main" count="35" uniqueCount="19">
  <si>
    <r>
      <rPr>
        <rFont val="arial,sans,sans-serif"/>
        <b/>
      </rPr>
      <t xml:space="preserve">Health Care Analytics Challenges: A 3-Pillar Framework Connecting Analytics Maturity, Workforce Agility, and Technical Enablement;
</t>
    </r>
    <r>
      <rPr>
        <rFont val="arial,sans,sans-serif"/>
        <b/>
        <color rgb="FF1155CC"/>
        <u/>
      </rPr>
      <t>https://www.i-jmr.org/2026/1/e96541</t>
    </r>
  </si>
  <si>
    <t>Total</t>
  </si>
  <si>
    <t>Oct 2026 MTD</t>
  </si>
  <si>
    <t>Performance of your articles on external sites</t>
  </si>
  <si>
    <t>Inbound sponsored impressions</t>
  </si>
  <si>
    <t>Inbound sponsored CTR</t>
  </si>
  <si>
    <t>Inbound sponsored clicks</t>
  </si>
  <si>
    <t>Credit balance reporting</t>
  </si>
  <si>
    <t>Cost per click (Campaigns)</t>
  </si>
  <si>
    <t xml:space="preserve">Total dollars spent </t>
  </si>
  <si>
    <t>Orange values to be updated (rows to be hidden when sending report)</t>
  </si>
  <si>
    <t>Cost Per Click</t>
  </si>
  <si>
    <t>CPC Ad spent</t>
  </si>
  <si>
    <t>Monetary value of inbound clicks</t>
  </si>
  <si>
    <t>Widget performance</t>
  </si>
  <si>
    <t>Inbound sponsored link clicks</t>
  </si>
  <si>
    <t>Inbound sponsored link impressions</t>
  </si>
  <si>
    <t>Inbound sponsored link CTR</t>
  </si>
  <si>
    <r>
      <rPr>
        <rFont val="arial,sans,sans-serif"/>
        <b/>
      </rPr>
      <t xml:space="preserve">The Continuity Trap in Data Science Health Research;
</t>
    </r>
    <r>
      <rPr>
        <rFont val="arial,sans,sans-serif"/>
        <b/>
        <color rgb="FF1155CC"/>
        <u/>
      </rPr>
      <t>https://www.i-jmr.org/2026/1/e96541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</si>
</sst>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&quot;$&quot;#,##0.00"/>
    <numFmt numFmtId="166" formatCode="#,##0_);(#,##0)"/>
    <numFmt numFmtId="167" formatCode="_(* #,##0.00_);_(* (#,##0.00);_(* &quot;-&quot;_);_(@_)"/>
  </numFmts>
  <fonts count="7">
    <font>
      <sz val="10.0"/>
      <color rgb="FF000000"/>
      <name val="Arial"/>
      <scheme val="minor"/>
    </font>
    <font>
      <b/>
      <u/>
      <color rgb="FF0000FF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Calibri"/>
    </font>
    <font>
      <b/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horizontal="center" vertical="center"/>
    </xf>
    <xf borderId="0" fillId="0" fontId="3" numFmtId="41" xfId="0" applyAlignment="1" applyFont="1" applyNumberFormat="1">
      <alignment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3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41" xfId="0" applyAlignment="1" applyFont="1" applyNumberFormat="1">
      <alignment vertical="bottom"/>
    </xf>
    <xf borderId="0" fillId="0" fontId="3" numFmtId="4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41" xfId="0" applyAlignment="1" applyFont="1" applyNumberFormat="1">
      <alignment horizontal="right" vertical="bottom"/>
    </xf>
    <xf borderId="0" fillId="0" fontId="3" numFmtId="41" xfId="0" applyAlignment="1" applyFont="1" applyNumberFormat="1">
      <alignment readingOrder="0" vertical="bottom"/>
    </xf>
    <xf borderId="0" fillId="0" fontId="3" numFmtId="10" xfId="0" applyAlignment="1" applyFont="1" applyNumberFormat="1">
      <alignment horizontal="right" vertical="bottom"/>
    </xf>
    <xf borderId="0" fillId="5" fontId="2" numFmtId="0" xfId="0" applyAlignment="1" applyFill="1" applyFont="1">
      <alignment vertical="bottom"/>
    </xf>
    <xf borderId="0" fillId="5" fontId="2" numFmtId="166" xfId="0" applyAlignment="1" applyFill="1" applyFont="1" applyNumberFormat="1">
      <alignment horizontal="right" vertical="bottom"/>
    </xf>
    <xf borderId="0" fillId="5" fontId="3" numFmtId="166" xfId="0" applyAlignment="1" applyFill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6" fontId="2" numFmtId="0" xfId="0" applyAlignment="1" applyFill="1" applyFont="1">
      <alignment vertical="bottom"/>
    </xf>
    <xf borderId="0" fillId="0" fontId="3" numFmtId="165" xfId="0" applyAlignment="1" applyFont="1" applyNumberFormat="1">
      <alignment readingOrder="0" vertical="top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7" fontId="3" numFmtId="165" xfId="0" applyAlignment="1" applyFill="1" applyFont="1" applyNumberFormat="1">
      <alignment horizontal="right" vertical="bottom"/>
    </xf>
    <xf borderId="0" fillId="8" fontId="2" numFmtId="0" xfId="0" applyAlignment="1" applyFill="1" applyFont="1">
      <alignment vertical="bottom"/>
    </xf>
    <xf borderId="0" fillId="8" fontId="3" numFmtId="41" xfId="0" applyAlignment="1" applyFill="1" applyFont="1" applyNumberFormat="1">
      <alignment vertical="bottom"/>
    </xf>
    <xf borderId="0" fillId="8" fontId="3" numFmtId="41" xfId="0" applyAlignment="1" applyFill="1" applyFont="1" applyNumberFormat="1">
      <alignment readingOrder="0" vertical="bottom"/>
    </xf>
    <xf borderId="0" fillId="8" fontId="3" numFmtId="41" xfId="0" applyAlignment="1" applyFill="1" applyFont="1" applyNumberFormat="1">
      <alignment readingOrder="0" vertical="bottom"/>
    </xf>
    <xf borderId="0" fillId="9" fontId="3" numFmtId="0" xfId="0" applyAlignment="1" applyFill="1" applyFont="1">
      <alignment vertical="bottom"/>
    </xf>
    <xf borderId="0" fillId="9" fontId="4" numFmtId="165" xfId="0" applyAlignment="1" applyFill="1" applyFont="1" applyNumberFormat="1">
      <alignment horizontal="right" vertical="bottom"/>
    </xf>
    <xf borderId="0" fillId="9" fontId="3" numFmtId="165" xfId="0" applyAlignment="1" applyFill="1" applyFont="1" applyNumberFormat="1">
      <alignment horizontal="right" readingOrder="0" vertical="bottom"/>
    </xf>
    <xf borderId="0" fillId="9" fontId="3" numFmtId="41" xfId="0" applyAlignment="1" applyFill="1" applyFont="1" applyNumberFormat="1">
      <alignment readingOrder="0" vertical="bottom"/>
    </xf>
    <xf borderId="0" fillId="9" fontId="2" numFmtId="0" xfId="0" applyAlignment="1" applyFill="1" applyFont="1">
      <alignment vertical="bottom"/>
    </xf>
    <xf borderId="0" fillId="9" fontId="3" numFmtId="41" xfId="0" applyAlignment="1" applyFill="1" applyFont="1" applyNumberFormat="1">
      <alignment vertical="bottom"/>
    </xf>
    <xf borderId="0" fillId="9" fontId="5" numFmtId="41" xfId="0" applyAlignment="1" applyFill="1" applyFont="1" applyNumberFormat="1">
      <alignment readingOrder="0" vertical="bottom"/>
    </xf>
    <xf borderId="0" fillId="9" fontId="3" numFmtId="41" xfId="0" applyAlignment="1" applyFill="1" applyFont="1" applyNumberFormat="1">
      <alignment vertical="bottom"/>
    </xf>
    <xf borderId="0" fillId="9" fontId="4" numFmtId="3" xfId="0" applyAlignment="1" applyFill="1" applyFont="1" applyNumberFormat="1">
      <alignment horizontal="right" vertical="bottom"/>
    </xf>
    <xf borderId="0" fillId="9" fontId="3" numFmtId="3" xfId="0" applyAlignment="1" applyFill="1" applyFont="1" applyNumberFormat="1">
      <alignment horizontal="right" readingOrder="0" vertical="bottom"/>
    </xf>
    <xf borderId="0" fillId="9" fontId="3" numFmtId="3" xfId="0" applyAlignment="1" applyFill="1" applyFont="1" applyNumberFormat="1">
      <alignment horizontal="right" readingOrder="0" vertical="bottom"/>
    </xf>
    <xf borderId="0" fillId="9" fontId="4" numFmtId="10" xfId="0" applyAlignment="1" applyFill="1" applyFont="1" applyNumberFormat="1">
      <alignment horizontal="right" vertical="bottom"/>
    </xf>
    <xf borderId="0" fillId="9" fontId="3" numFmtId="4" xfId="0" applyAlignment="1" applyFill="1" applyFont="1" applyNumberFormat="1">
      <alignment horizontal="right" readingOrder="0" vertical="bottom"/>
    </xf>
    <xf borderId="0" fillId="9" fontId="3" numFmtId="167" xfId="0" applyAlignment="1" applyFill="1" applyFont="1" applyNumberFormat="1">
      <alignment readingOrder="0" vertical="bottom"/>
    </xf>
    <xf borderId="0" fillId="2" fontId="6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-jmr.org/2026/1/e9654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-jmr.org/2026/1/e96541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5.88"/>
    <col customWidth="1" min="3" max="3" width="2.13"/>
    <col customWidth="1" min="4" max="5" width="13.0"/>
    <col customWidth="1" min="6" max="6" width="0.38"/>
  </cols>
  <sheetData>
    <row r="1">
      <c r="A1" s="1" t="s">
        <v>0</v>
      </c>
      <c r="B1" s="2" t="s">
        <v>1</v>
      </c>
      <c r="C1" s="3"/>
      <c r="D1" s="4" t="s">
        <v>2</v>
      </c>
      <c r="E1" s="5">
        <v>46266.0</v>
      </c>
      <c r="F1" s="6"/>
    </row>
    <row r="2">
      <c r="A2" s="7" t="s">
        <v>3</v>
      </c>
      <c r="B2" s="8"/>
      <c r="C2" s="9"/>
      <c r="D2" s="10"/>
      <c r="E2" s="10"/>
      <c r="F2" s="8"/>
    </row>
    <row r="3">
      <c r="A3" s="11" t="s">
        <v>4</v>
      </c>
      <c r="B3" s="12">
        <f>B17</f>
        <v>104251</v>
      </c>
      <c r="C3" s="9"/>
      <c r="D3" s="13">
        <f t="shared" ref="D3:E3" si="1">D17</f>
        <v>96829</v>
      </c>
      <c r="E3" s="13">
        <f t="shared" si="1"/>
        <v>7422</v>
      </c>
      <c r="F3" s="9"/>
    </row>
    <row r="4">
      <c r="A4" s="11" t="s">
        <v>5</v>
      </c>
      <c r="B4" s="14">
        <f>B5/B3</f>
        <v>0.0006234952183</v>
      </c>
      <c r="C4" s="9"/>
      <c r="D4" s="14">
        <f t="shared" ref="D4:E4" si="2">D5/D3</f>
        <v>0.0006403040411</v>
      </c>
      <c r="E4" s="14">
        <f t="shared" si="2"/>
        <v>0.0004042037187</v>
      </c>
      <c r="F4" s="14"/>
    </row>
    <row r="5">
      <c r="A5" s="15" t="s">
        <v>6</v>
      </c>
      <c r="B5" s="16">
        <f>SUM(C5:F5)</f>
        <v>65</v>
      </c>
      <c r="C5" s="9"/>
      <c r="D5" s="17">
        <f t="shared" ref="D5:E5" si="3">D16</f>
        <v>62</v>
      </c>
      <c r="E5" s="17">
        <f t="shared" si="3"/>
        <v>3</v>
      </c>
      <c r="F5" s="17"/>
    </row>
    <row r="6">
      <c r="A6" s="11"/>
      <c r="B6" s="18"/>
      <c r="C6" s="9"/>
      <c r="D6" s="18"/>
      <c r="E6" s="18"/>
      <c r="F6" s="18"/>
    </row>
    <row r="7">
      <c r="A7" s="19" t="s">
        <v>7</v>
      </c>
      <c r="B7" s="18"/>
      <c r="C7" s="9"/>
      <c r="D7" s="18"/>
      <c r="E7" s="18"/>
      <c r="F7" s="18"/>
    </row>
    <row r="8">
      <c r="A8" s="11" t="s">
        <v>8</v>
      </c>
      <c r="B8" s="20">
        <f>average(C8:F8)</f>
        <v>1</v>
      </c>
      <c r="C8" s="9"/>
      <c r="D8" s="21">
        <f t="shared" ref="D8:E8" si="4">D12</f>
        <v>1</v>
      </c>
      <c r="E8" s="21">
        <f t="shared" si="4"/>
        <v>1</v>
      </c>
      <c r="F8" s="22"/>
    </row>
    <row r="9">
      <c r="A9" s="11" t="s">
        <v>9</v>
      </c>
      <c r="B9" s="22">
        <f>SUM(C9:F9)</f>
        <v>65</v>
      </c>
      <c r="C9" s="9"/>
      <c r="D9" s="22">
        <f t="shared" ref="D9:E9" si="5">D8*D5</f>
        <v>62</v>
      </c>
      <c r="E9" s="22">
        <f t="shared" si="5"/>
        <v>3</v>
      </c>
      <c r="F9" s="22"/>
    </row>
    <row r="10">
      <c r="A10" s="11"/>
      <c r="B10" s="11"/>
      <c r="C10" s="11"/>
      <c r="D10" s="23"/>
      <c r="E10" s="23"/>
      <c r="F10" s="11"/>
    </row>
    <row r="11" hidden="1">
      <c r="A11" s="24" t="s">
        <v>10</v>
      </c>
      <c r="B11" s="25"/>
      <c r="C11" s="9"/>
      <c r="D11" s="26"/>
      <c r="E11" s="26"/>
      <c r="F11" s="27"/>
    </row>
    <row r="12" hidden="1">
      <c r="A12" s="28" t="s">
        <v>11</v>
      </c>
      <c r="B12" s="29">
        <f>AVERAGE(C12:F12)</f>
        <v>1</v>
      </c>
      <c r="C12" s="9"/>
      <c r="D12" s="30">
        <v>1.0</v>
      </c>
      <c r="E12" s="30">
        <v>1.0</v>
      </c>
      <c r="F12" s="31"/>
    </row>
    <row r="13" hidden="1">
      <c r="A13" s="28" t="s">
        <v>12</v>
      </c>
      <c r="B13" s="29">
        <f t="shared" ref="B13:B14" si="7">SUM(C13:F13)</f>
        <v>65</v>
      </c>
      <c r="C13" s="9"/>
      <c r="D13" s="30">
        <f t="shared" ref="D13:E13" si="6">D12*D16</f>
        <v>62</v>
      </c>
      <c r="E13" s="30">
        <f t="shared" si="6"/>
        <v>3</v>
      </c>
      <c r="F13" s="31"/>
    </row>
    <row r="14" hidden="1">
      <c r="A14" s="28" t="s">
        <v>13</v>
      </c>
      <c r="B14" s="29">
        <f t="shared" si="7"/>
        <v>65</v>
      </c>
      <c r="C14" s="9"/>
      <c r="D14" s="30">
        <f t="shared" ref="D14:E14" si="8">D12*D16</f>
        <v>62</v>
      </c>
      <c r="E14" s="30">
        <f t="shared" si="8"/>
        <v>3</v>
      </c>
      <c r="F14" s="31"/>
    </row>
    <row r="15" hidden="1">
      <c r="A15" s="32" t="s">
        <v>14</v>
      </c>
      <c r="B15" s="33"/>
      <c r="C15" s="9"/>
      <c r="D15" s="34"/>
      <c r="E15" s="34"/>
      <c r="F15" s="35"/>
    </row>
    <row r="16" hidden="1">
      <c r="A16" s="28" t="s">
        <v>15</v>
      </c>
      <c r="B16" s="36">
        <f t="shared" ref="B16:B17" si="9">SUM(C16:F16)</f>
        <v>65</v>
      </c>
      <c r="C16" s="9"/>
      <c r="D16" s="37">
        <v>62.0</v>
      </c>
      <c r="E16" s="37">
        <v>3.0</v>
      </c>
      <c r="F16" s="31"/>
    </row>
    <row r="17" hidden="1">
      <c r="A17" s="28" t="s">
        <v>16</v>
      </c>
      <c r="B17" s="36">
        <f t="shared" si="9"/>
        <v>104251</v>
      </c>
      <c r="C17" s="9"/>
      <c r="D17" s="38">
        <v>96829.0</v>
      </c>
      <c r="E17" s="37">
        <v>7422.0</v>
      </c>
      <c r="F17" s="31"/>
    </row>
    <row r="18" hidden="1">
      <c r="A18" s="28" t="s">
        <v>17</v>
      </c>
      <c r="B18" s="39">
        <f>B16/B17</f>
        <v>0.0006234952183</v>
      </c>
      <c r="C18" s="9"/>
      <c r="D18" s="40">
        <f t="shared" ref="D18:E18" si="10">(D16/D17)*100</f>
        <v>0.06403040411</v>
      </c>
      <c r="E18" s="40">
        <f t="shared" si="10"/>
        <v>0.04042037187</v>
      </c>
      <c r="F18" s="41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6.0"/>
    <col customWidth="1" min="3" max="3" width="2.13"/>
    <col customWidth="1" min="4" max="4" width="13.0"/>
    <col customWidth="1" min="5" max="5" width="0.38"/>
  </cols>
  <sheetData>
    <row r="1">
      <c r="A1" s="42" t="s">
        <v>18</v>
      </c>
      <c r="B1" s="2" t="s">
        <v>1</v>
      </c>
      <c r="C1" s="3"/>
      <c r="D1" s="5">
        <v>46266.0</v>
      </c>
      <c r="E1" s="6"/>
    </row>
    <row r="2">
      <c r="A2" s="7" t="s">
        <v>3</v>
      </c>
      <c r="B2" s="8"/>
      <c r="C2" s="9"/>
      <c r="D2" s="10"/>
      <c r="E2" s="8"/>
    </row>
    <row r="3">
      <c r="A3" s="11" t="s">
        <v>4</v>
      </c>
      <c r="B3" s="12">
        <f>B17</f>
        <v>169210</v>
      </c>
      <c r="C3" s="9"/>
      <c r="D3" s="13">
        <f>D17</f>
        <v>169210</v>
      </c>
      <c r="E3" s="9"/>
    </row>
    <row r="4">
      <c r="A4" s="11" t="s">
        <v>5</v>
      </c>
      <c r="B4" s="14">
        <f>B5/B3</f>
        <v>0.0005082441936</v>
      </c>
      <c r="C4" s="9"/>
      <c r="D4" s="14">
        <f>D5/D3</f>
        <v>0.0005082441936</v>
      </c>
      <c r="E4" s="14"/>
    </row>
    <row r="5">
      <c r="A5" s="15" t="s">
        <v>6</v>
      </c>
      <c r="B5" s="16">
        <f>SUM(C5:E5)</f>
        <v>86</v>
      </c>
      <c r="C5" s="9"/>
      <c r="D5" s="17">
        <f>D16</f>
        <v>86</v>
      </c>
      <c r="E5" s="17"/>
    </row>
    <row r="6">
      <c r="A6" s="11"/>
      <c r="B6" s="18"/>
      <c r="C6" s="9"/>
      <c r="D6" s="18"/>
      <c r="E6" s="18"/>
    </row>
    <row r="7">
      <c r="A7" s="19" t="s">
        <v>7</v>
      </c>
      <c r="B7" s="18"/>
      <c r="C7" s="9"/>
      <c r="D7" s="18"/>
      <c r="E7" s="18"/>
    </row>
    <row r="8">
      <c r="A8" s="11" t="s">
        <v>8</v>
      </c>
      <c r="B8" s="20">
        <f>average(C8:E8)</f>
        <v>1</v>
      </c>
      <c r="C8" s="9"/>
      <c r="D8" s="21">
        <f>D12</f>
        <v>1</v>
      </c>
      <c r="E8" s="22"/>
    </row>
    <row r="9">
      <c r="A9" s="11" t="s">
        <v>9</v>
      </c>
      <c r="B9" s="22">
        <f>SUM(C9:E9)</f>
        <v>86</v>
      </c>
      <c r="C9" s="9"/>
      <c r="D9" s="22">
        <f>D8*D5</f>
        <v>86</v>
      </c>
      <c r="E9" s="22"/>
    </row>
    <row r="10">
      <c r="A10" s="11"/>
      <c r="B10" s="11"/>
      <c r="C10" s="11"/>
      <c r="D10" s="23"/>
      <c r="E10" s="11"/>
    </row>
    <row r="11" hidden="1">
      <c r="A11" s="24" t="s">
        <v>10</v>
      </c>
      <c r="B11" s="25"/>
      <c r="C11" s="9"/>
      <c r="D11" s="26"/>
      <c r="E11" s="27"/>
    </row>
    <row r="12" hidden="1">
      <c r="A12" s="28" t="s">
        <v>11</v>
      </c>
      <c r="B12" s="29">
        <f>AVERAGE(C12:E12)</f>
        <v>1</v>
      </c>
      <c r="C12" s="9"/>
      <c r="D12" s="30">
        <v>1.0</v>
      </c>
      <c r="E12" s="31"/>
    </row>
    <row r="13" hidden="1">
      <c r="A13" s="28" t="s">
        <v>12</v>
      </c>
      <c r="B13" s="29">
        <f t="shared" ref="B13:B14" si="1">SUM(C13:E13)</f>
        <v>86</v>
      </c>
      <c r="C13" s="9"/>
      <c r="D13" s="30">
        <f>D12*D16</f>
        <v>86</v>
      </c>
      <c r="E13" s="31"/>
    </row>
    <row r="14" hidden="1">
      <c r="A14" s="28" t="s">
        <v>13</v>
      </c>
      <c r="B14" s="29">
        <f t="shared" si="1"/>
        <v>86</v>
      </c>
      <c r="C14" s="9"/>
      <c r="D14" s="30">
        <f>D12*D16</f>
        <v>86</v>
      </c>
      <c r="E14" s="31"/>
    </row>
    <row r="15" hidden="1">
      <c r="A15" s="32" t="s">
        <v>14</v>
      </c>
      <c r="B15" s="33"/>
      <c r="C15" s="9"/>
      <c r="D15" s="34"/>
      <c r="E15" s="35"/>
    </row>
    <row r="16" hidden="1">
      <c r="A16" s="28" t="s">
        <v>15</v>
      </c>
      <c r="B16" s="36">
        <f t="shared" ref="B16:B17" si="2">SUM(C16:E16)</f>
        <v>86</v>
      </c>
      <c r="C16" s="9"/>
      <c r="D16" s="37">
        <v>86.0</v>
      </c>
      <c r="E16" s="31"/>
    </row>
    <row r="17" hidden="1">
      <c r="A17" s="28" t="s">
        <v>16</v>
      </c>
      <c r="B17" s="36">
        <f t="shared" si="2"/>
        <v>169210</v>
      </c>
      <c r="C17" s="9"/>
      <c r="D17" s="38">
        <v>169210.0</v>
      </c>
      <c r="E17" s="31"/>
    </row>
    <row r="18" hidden="1">
      <c r="A18" s="28" t="s">
        <v>17</v>
      </c>
      <c r="B18" s="39">
        <f>B16/B17</f>
        <v>0.0005082441936</v>
      </c>
      <c r="C18" s="9"/>
      <c r="D18" s="40">
        <f>(D16/D17)*100</f>
        <v>0.05082441936</v>
      </c>
      <c r="E18" s="41"/>
    </row>
  </sheetData>
  <hyperlinks>
    <hyperlink r:id="rId1" ref="A1"/>
  </hyperlinks>
  <drawing r:id="rId2"/>
</worksheet>
</file>